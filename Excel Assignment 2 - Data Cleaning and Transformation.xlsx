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e9af62ee0ce20b/Desktop/Data Analytics/"/>
    </mc:Choice>
  </mc:AlternateContent>
  <xr:revisionPtr revIDLastSave="0" documentId="8_{F6492812-47A3-4437-916B-26E130CDA12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Answer Sheet" sheetId="3" r:id="rId3"/>
  </sheets>
  <definedNames>
    <definedName name="_xlnm._FilterDatabase" localSheetId="2" hidden="1">'Answer Sheet'!$A$1:$S$32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H26" i="3" l="1"/>
  <c r="H21" i="3"/>
  <c r="H7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</calcChain>
</file>

<file path=xl/sharedStrings.xml><?xml version="1.0" encoding="utf-8"?>
<sst xmlns="http://schemas.openxmlformats.org/spreadsheetml/2006/main" count="442" uniqueCount="153">
  <si>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</si>
  <si>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</si>
  <si>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</si>
  <si>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</si>
  <si>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</si>
  <si>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</si>
  <si>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</si>
  <si>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</si>
  <si>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</si>
  <si>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</si>
  <si>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</si>
  <si>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</si>
  <si>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</si>
  <si>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</si>
  <si>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</si>
  <si>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</si>
  <si>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</si>
  <si>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</si>
  <si>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</si>
  <si>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</si>
  <si>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</si>
  <si>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</si>
  <si>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</si>
  <si>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</si>
  <si>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</si>
  <si>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</si>
  <si>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</si>
  <si>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</si>
  <si>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</si>
  <si>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</si>
  <si>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</si>
  <si>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</si>
  <si>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</si>
  <si>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</si>
  <si>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</si>
  <si>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</si>
  <si>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</si>
  <si>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</si>
  <si>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</si>
  <si>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</si>
  <si>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</si>
  <si>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</si>
  <si>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</si>
  <si>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</si>
  <si>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</si>
  <si>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</si>
  <si>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</si>
  <si>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</si>
  <si>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</si>
  <si>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</si>
  <si>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</si>
  <si>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</si>
  <si>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</si>
  <si>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</si>
  <si>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</si>
  <si>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</si>
  <si>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</si>
  <si>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</si>
  <si>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</si>
  <si>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</si>
  <si>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</si>
  <si>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</si>
  <si>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</si>
  <si>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</si>
  <si>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</si>
  <si>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</si>
  <si>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</si>
  <si>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</si>
  <si>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</si>
  <si>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</si>
  <si>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</si>
  <si>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</si>
  <si>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</si>
  <si>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</si>
  <si>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</si>
  <si>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</si>
  <si>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</si>
  <si>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</si>
  <si>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</si>
  <si>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</si>
  <si>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</si>
  <si>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</si>
  <si>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</si>
  <si>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</si>
  <si>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</si>
  <si>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</si>
  <si>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</si>
  <si>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</si>
  <si>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</si>
  <si>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</si>
  <si>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</si>
  <si>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</si>
  <si>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</si>
  <si>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</si>
  <si>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</si>
  <si>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</si>
  <si>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</si>
  <si>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</si>
  <si>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</si>
  <si>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</si>
  <si>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</si>
  <si>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</si>
  <si>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</si>
  <si>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</si>
  <si>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</si>
  <si>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</si>
  <si>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</si>
  <si>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</si>
  <si>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</si>
  <si>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</si>
  <si>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</si>
  <si>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</si>
  <si>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</si>
  <si>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</si>
  <si>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</si>
  <si>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</si>
  <si>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Missing Value</t>
  </si>
  <si>
    <t>Product Missing Data</t>
  </si>
  <si>
    <t>Correcting Inconsistent Data in Product name:</t>
  </si>
  <si>
    <t xml:space="preserve">Correcting Typos </t>
  </si>
  <si>
    <t>Elctronics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</si>
  <si>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</si>
  <si>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</si>
  <si>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</si>
  <si>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</si>
  <si>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</si>
  <si>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</si>
  <si>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</si>
  <si>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</si>
  <si>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</si>
  <si>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</si>
  <si>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</si>
  <si>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</si>
  <si>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</si>
  <si>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</si>
  <si>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</si>
  <si>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</si>
  <si>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</si>
  <si>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</si>
  <si>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</si>
  <si>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</si>
  <si>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</si>
  <si>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</si>
  <si>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</si>
  <si>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</si>
  <si>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</si>
  <si>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>Country Code</t>
  </si>
  <si>
    <t>Date</t>
  </si>
  <si>
    <t>Month</t>
  </si>
  <si>
    <t>Product Brand</t>
  </si>
  <si>
    <t>Currency Format</t>
  </si>
  <si>
    <t>Conditional formating</t>
  </si>
  <si>
    <t>Customized Conditional formating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</si>
</sst>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&quot;$&quot;#,##0.00"/>
    <numFmt numFmtId="169" formatCode="dd\-mm\-yyyy"/>
  </numFmts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8" fillId="2" borderId="0" xfId="0" applyFont="1" applyFill="1" applyAlignment="1">
      <alignment horizontal="center"/>
    </xf>
    <xf numFmtId="168" fontId="5" fillId="0" borderId="0" xfId="0" applyNumberFormat="1" applyFont="1"/>
    <xf numFmtId="168" fontId="5" fillId="3" borderId="0" xfId="0" applyNumberFormat="1" applyFont="1" applyFill="1"/>
    <xf numFmtId="168" fontId="0" fillId="0" borderId="0" xfId="0" applyNumberFormat="1"/>
    <xf numFmtId="168" fontId="8" fillId="2" borderId="0" xfId="0" applyNumberFormat="1" applyFont="1" applyFill="1" applyAlignment="1">
      <alignment horizontal="center"/>
    </xf>
    <xf numFmtId="169" fontId="8" fillId="2" borderId="0" xfId="0" applyNumberFormat="1" applyFont="1" applyFill="1" applyAlignment="1">
      <alignment horizontal="center"/>
    </xf>
    <xf numFmtId="169" fontId="0" fillId="0" borderId="0" xfId="0" applyNumberFormat="1"/>
  </cellXfs>
  <cellStyles count="1">
    <cellStyle name="Normal" xfId="0" builtinId="0"/>
  </cellStyles>
  <dxfs count="1"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zoomScale="85" zoomScaleNormal="85" workbookViewId="0">
      <selection activeCell="C25" sqref="C2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zoomScale="70" zoomScaleNormal="70" workbookViewId="0">
      <selection activeCell="G1" sqref="G1"/>
    </sheetView>
  </sheetViews>
  <sheetFormatPr defaultColWidth="12.6640625" defaultRowHeight="15" customHeight="1" x14ac:dyDescent="0.25"/>
  <cols>
    <col min="1" max="7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73647-5984-4565-B625-A79D47F1872D}">
  <dimension ref="A1:S32"/>
  <sheetViews>
    <sheetView tabSelected="1" workbookViewId="0">
      <selection activeCell="I19" sqref="I19"/>
    </sheetView>
  </sheetViews>
  <sheetFormatPr defaultRowHeight="13.2" x14ac:dyDescent="0.25"/>
  <cols>
    <col min="1" max="1" width="14.44140625" customWidth="1"/>
    <col min="2" max="2" width="16.33203125" customWidth="1"/>
    <col min="3" max="3" width="13.21875" customWidth="1"/>
    <col min="6" max="7" width="13.5546875" customWidth="1"/>
    <col min="8" max="8" width="18.6640625" customWidth="1"/>
    <col min="9" max="9" width="27.88671875" customWidth="1"/>
    <col min="10" max="10" width="42" customWidth="1"/>
    <col min="11" max="11" width="16.44140625" customWidth="1"/>
    <col min="12" max="12" width="14.44140625" customWidth="1"/>
    <col min="13" max="13" width="15" customWidth="1"/>
    <col min="14" max="14" width="24.21875" style="15" customWidth="1"/>
    <col min="15" max="15" width="13.5546875" customWidth="1"/>
    <col min="16" max="16" width="22.6640625" customWidth="1"/>
    <col min="17" max="17" width="16.77734375" style="12" customWidth="1"/>
    <col min="18" max="18" width="19.5546875" customWidth="1"/>
    <col min="19" max="19" width="39.6640625" customWidth="1"/>
  </cols>
  <sheetData>
    <row r="1" spans="1:19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/>
      <c r="H1" s="7" t="s">
        <v>116</v>
      </c>
      <c r="I1" s="7" t="s">
        <v>117</v>
      </c>
      <c r="J1" s="7" t="s">
        <v>118</v>
      </c>
      <c r="K1" s="7" t="s">
        <v>119</v>
      </c>
      <c r="L1" s="9" t="s">
        <v>147</v>
      </c>
      <c r="M1" s="9" t="s">
        <v>148</v>
      </c>
      <c r="N1" s="14" t="s">
        <v>145</v>
      </c>
      <c r="O1" s="9" t="s">
        <v>146</v>
      </c>
      <c r="P1" s="9" t="s">
        <v>149</v>
      </c>
      <c r="Q1" s="13" t="s">
        <v>150</v>
      </c>
      <c r="R1" s="9" t="s">
        <v>151</v>
      </c>
      <c r="S1" s="9" t="s">
        <v>152</v>
      </c>
    </row>
    <row r="2" spans="1:19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120</v>
      </c>
      <c r="G2" s="5"/>
      <c r="H2" s="5">
        <v>1000</v>
      </c>
      <c r="I2" s="5" t="s">
        <v>120</v>
      </c>
      <c r="J2" t="str">
        <f>PROPER(B:B)</f>
        <v>Laptop</v>
      </c>
      <c r="K2" s="5" t="s">
        <v>120</v>
      </c>
      <c r="L2" s="5">
        <v>28</v>
      </c>
      <c r="M2" t="s">
        <v>121</v>
      </c>
      <c r="N2" s="15" t="str">
        <f>L2&amp;"-"&amp;M2</f>
        <v>28-JAN</v>
      </c>
      <c r="O2" t="s">
        <v>122</v>
      </c>
      <c r="P2" t="str">
        <f>C2&amp;" "&amp;B2</f>
        <v>Dell laptop</v>
      </c>
      <c r="Q2" s="10">
        <v>1000</v>
      </c>
      <c r="R2" s="5">
        <v>1000</v>
      </c>
      <c r="S2" s="5" t="s">
        <v>120</v>
      </c>
    </row>
    <row r="3" spans="1:19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G3" s="8"/>
      <c r="H3" s="8">
        <v>80</v>
      </c>
      <c r="I3" s="8" t="s">
        <v>32</v>
      </c>
      <c r="J3" t="str">
        <f>PROPER(B:B)</f>
        <v>Sneakers</v>
      </c>
      <c r="K3" s="8" t="s">
        <v>32</v>
      </c>
      <c r="L3" s="8">
        <v>15</v>
      </c>
      <c r="M3" t="s">
        <v>123</v>
      </c>
      <c r="N3" s="15" t="str">
        <f>L3&amp;"-"&amp;M3</f>
        <v>15-FEB</v>
      </c>
      <c r="O3" t="s">
        <v>122</v>
      </c>
      <c r="P3" t="str">
        <f t="shared" ref="P3:P32" si="0">C3&amp;" "&amp;B3</f>
        <v>Nike Sneakers</v>
      </c>
      <c r="Q3" s="11">
        <v>80</v>
      </c>
      <c r="R3" s="8">
        <v>80</v>
      </c>
      <c r="S3" s="8" t="s">
        <v>32</v>
      </c>
    </row>
    <row r="4" spans="1:19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G4" s="5"/>
      <c r="H4" s="5">
        <v>130</v>
      </c>
      <c r="I4" s="5" t="s">
        <v>36</v>
      </c>
      <c r="J4" t="str">
        <f>PROPER(B:B)</f>
        <v>Coffee Maker</v>
      </c>
      <c r="K4" s="5" t="s">
        <v>36</v>
      </c>
      <c r="L4" s="5">
        <v>3</v>
      </c>
      <c r="M4" t="s">
        <v>124</v>
      </c>
      <c r="N4" s="15" t="str">
        <f>L4&amp;"-"&amp;M4</f>
        <v>3-MAR</v>
      </c>
      <c r="O4" t="s">
        <v>122</v>
      </c>
      <c r="P4" t="str">
        <f t="shared" si="0"/>
        <v>Keurig Coffee Maker</v>
      </c>
      <c r="Q4" s="10">
        <v>130</v>
      </c>
      <c r="R4" s="5">
        <v>130</v>
      </c>
      <c r="S4" s="5" t="s">
        <v>36</v>
      </c>
    </row>
    <row r="5" spans="1:19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120</v>
      </c>
      <c r="G5" s="8"/>
      <c r="H5" s="8">
        <v>900</v>
      </c>
      <c r="I5" s="8" t="s">
        <v>120</v>
      </c>
      <c r="J5" t="str">
        <f>PROPER(B:B)</f>
        <v>Smartphone</v>
      </c>
      <c r="K5" s="8" t="s">
        <v>120</v>
      </c>
      <c r="L5" s="8">
        <v>11</v>
      </c>
      <c r="M5" t="s">
        <v>125</v>
      </c>
      <c r="N5" s="15" t="str">
        <f>L5&amp;"-"&amp;M5</f>
        <v>11-APR</v>
      </c>
      <c r="O5" t="s">
        <v>122</v>
      </c>
      <c r="P5" t="str">
        <f t="shared" si="0"/>
        <v>Samsung smartphone</v>
      </c>
      <c r="Q5" s="11">
        <v>900</v>
      </c>
      <c r="R5" s="8">
        <v>900</v>
      </c>
      <c r="S5" s="8" t="s">
        <v>120</v>
      </c>
    </row>
    <row r="6" spans="1:19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  <c r="G6" s="5"/>
      <c r="H6" s="5">
        <v>70</v>
      </c>
      <c r="I6" s="8" t="s">
        <v>75</v>
      </c>
      <c r="J6" t="str">
        <f>PROPER(B:B)</f>
        <v>Backpack</v>
      </c>
      <c r="K6" s="5"/>
      <c r="L6" s="5">
        <v>22</v>
      </c>
      <c r="M6" t="s">
        <v>126</v>
      </c>
      <c r="N6" s="15" t="str">
        <f>L6&amp;"-"&amp;M6</f>
        <v>22-MAY</v>
      </c>
      <c r="O6" t="s">
        <v>122</v>
      </c>
      <c r="P6" t="str">
        <f t="shared" si="0"/>
        <v>North Face Backpack</v>
      </c>
      <c r="Q6" s="10">
        <v>70</v>
      </c>
      <c r="R6" s="5">
        <v>70</v>
      </c>
      <c r="S6" s="5"/>
    </row>
    <row r="7" spans="1:19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120</v>
      </c>
      <c r="G7" s="8"/>
      <c r="H7" s="8">
        <f>AVERAGE(D2:D32)</f>
        <v>297.85714285714283</v>
      </c>
      <c r="I7" s="8" t="s">
        <v>120</v>
      </c>
      <c r="J7" t="str">
        <f>PROPER(B:B)</f>
        <v>Headphones</v>
      </c>
      <c r="K7" s="8" t="s">
        <v>120</v>
      </c>
      <c r="L7" s="8">
        <v>7</v>
      </c>
      <c r="M7" t="s">
        <v>127</v>
      </c>
      <c r="N7" s="15" t="str">
        <f>L7&amp;"-"&amp;M7</f>
        <v>7-JUN</v>
      </c>
      <c r="O7" t="s">
        <v>128</v>
      </c>
      <c r="P7" t="str">
        <f t="shared" si="0"/>
        <v>Sony Headphones</v>
      </c>
      <c r="Q7" s="11"/>
      <c r="R7" s="8"/>
      <c r="S7" s="8" t="s">
        <v>120</v>
      </c>
    </row>
    <row r="8" spans="1:19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  <c r="G8" s="5"/>
      <c r="H8" s="5">
        <v>30</v>
      </c>
      <c r="I8" s="5" t="s">
        <v>32</v>
      </c>
      <c r="J8" t="str">
        <f>PROPER(B:B)</f>
        <v>T-Shirt</v>
      </c>
      <c r="K8" s="5" t="s">
        <v>32</v>
      </c>
      <c r="L8" s="5">
        <v>19</v>
      </c>
      <c r="M8" t="s">
        <v>129</v>
      </c>
      <c r="N8" s="15" t="str">
        <f>L8&amp;"-"&amp;M8</f>
        <v>19-JUL</v>
      </c>
      <c r="O8" t="s">
        <v>128</v>
      </c>
      <c r="P8" t="str">
        <f t="shared" si="0"/>
        <v>Adidas T-shirt</v>
      </c>
      <c r="Q8" s="10">
        <v>30</v>
      </c>
      <c r="R8" s="5">
        <v>30</v>
      </c>
      <c r="S8" s="5" t="s">
        <v>32</v>
      </c>
    </row>
    <row r="9" spans="1:19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  <c r="G9" s="8"/>
      <c r="H9" s="8">
        <v>90</v>
      </c>
      <c r="I9" s="8" t="s">
        <v>36</v>
      </c>
      <c r="J9" t="str">
        <f>PROPER(B:B)</f>
        <v>Blender</v>
      </c>
      <c r="K9" s="8" t="s">
        <v>36</v>
      </c>
      <c r="L9" s="8">
        <v>23</v>
      </c>
      <c r="M9" t="s">
        <v>130</v>
      </c>
      <c r="N9" s="15" t="str">
        <f>L9&amp;"-"&amp;M9</f>
        <v>23-AUG</v>
      </c>
      <c r="O9" t="s">
        <v>128</v>
      </c>
      <c r="P9" t="str">
        <f t="shared" si="0"/>
        <v>Ninja Blender</v>
      </c>
      <c r="Q9" s="11">
        <v>90</v>
      </c>
      <c r="R9" s="8">
        <v>90</v>
      </c>
      <c r="S9" s="8" t="s">
        <v>36</v>
      </c>
    </row>
    <row r="10" spans="1:19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120</v>
      </c>
      <c r="G10" s="5"/>
      <c r="H10" s="5">
        <v>500</v>
      </c>
      <c r="I10" s="5" t="s">
        <v>120</v>
      </c>
      <c r="J10" t="str">
        <f>PROPER(B:B)</f>
        <v>Tablet</v>
      </c>
      <c r="K10" s="5" t="s">
        <v>120</v>
      </c>
      <c r="L10" s="5">
        <v>5</v>
      </c>
      <c r="M10" t="s">
        <v>131</v>
      </c>
      <c r="N10" s="15" t="str">
        <f>L10&amp;"-"&amp;M10</f>
        <v>5-SEP</v>
      </c>
      <c r="O10" t="s">
        <v>128</v>
      </c>
      <c r="P10" t="str">
        <f t="shared" si="0"/>
        <v>Apple Tablet</v>
      </c>
      <c r="Q10" s="10">
        <v>500</v>
      </c>
      <c r="R10" s="5">
        <v>500</v>
      </c>
      <c r="S10" s="5" t="s">
        <v>120</v>
      </c>
    </row>
    <row r="11" spans="1:19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  <c r="G11" s="8"/>
      <c r="H11" s="8">
        <v>130</v>
      </c>
      <c r="I11" s="8" t="s">
        <v>59</v>
      </c>
      <c r="J11" t="str">
        <f>PROPER(B:B)</f>
        <v>Hiking Boots</v>
      </c>
      <c r="K11" s="8" t="s">
        <v>59</v>
      </c>
      <c r="L11" s="8">
        <v>14</v>
      </c>
      <c r="M11" t="s">
        <v>132</v>
      </c>
      <c r="N11" s="15" t="str">
        <f>L11&amp;"-"&amp;M11</f>
        <v>14-OCT</v>
      </c>
      <c r="O11" t="s">
        <v>128</v>
      </c>
      <c r="P11" t="str">
        <f t="shared" si="0"/>
        <v>Timberland Hiking Boots</v>
      </c>
      <c r="Q11" s="11">
        <v>130</v>
      </c>
      <c r="R11" s="8">
        <v>130</v>
      </c>
      <c r="S11" s="8" t="s">
        <v>59</v>
      </c>
    </row>
    <row r="12" spans="1:19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120</v>
      </c>
      <c r="G12" s="5"/>
      <c r="H12" s="5">
        <v>950</v>
      </c>
      <c r="I12" s="5" t="s">
        <v>120</v>
      </c>
      <c r="J12" t="str">
        <f>PROPER(B:B)</f>
        <v>Laptop</v>
      </c>
      <c r="K12" s="5" t="s">
        <v>120</v>
      </c>
      <c r="L12" s="5">
        <v>17</v>
      </c>
      <c r="M12" t="s">
        <v>127</v>
      </c>
      <c r="N12" s="15" t="str">
        <f>L12&amp;"-"&amp;M12</f>
        <v>17-JUN</v>
      </c>
      <c r="O12" t="s">
        <v>133</v>
      </c>
      <c r="P12" t="str">
        <f t="shared" si="0"/>
        <v>HP Laptop</v>
      </c>
      <c r="Q12" s="10">
        <v>950</v>
      </c>
      <c r="R12" s="5">
        <v>950</v>
      </c>
      <c r="S12" s="5" t="s">
        <v>120</v>
      </c>
    </row>
    <row r="13" spans="1:19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  <c r="G13" s="8"/>
      <c r="H13" s="8">
        <v>90</v>
      </c>
      <c r="I13" s="5" t="s">
        <v>32</v>
      </c>
      <c r="J13" t="str">
        <f>PROPER(B:B)</f>
        <v>Sneakers</v>
      </c>
      <c r="K13" s="8"/>
      <c r="L13" s="8">
        <v>25</v>
      </c>
      <c r="M13" t="s">
        <v>134</v>
      </c>
      <c r="N13" s="15" t="str">
        <f>L13&amp;"-"&amp;M13</f>
        <v>25-NOV</v>
      </c>
      <c r="O13" t="s">
        <v>135</v>
      </c>
      <c r="P13" t="str">
        <f t="shared" si="0"/>
        <v>Adidas Sneakers</v>
      </c>
      <c r="Q13" s="11">
        <v>90</v>
      </c>
      <c r="R13" s="8">
        <v>90</v>
      </c>
      <c r="S13" s="8"/>
    </row>
    <row r="14" spans="1:19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  <c r="G14" s="5"/>
      <c r="H14" s="5">
        <v>120</v>
      </c>
      <c r="I14" s="8" t="s">
        <v>36</v>
      </c>
      <c r="J14" t="str">
        <f>PROPER(B:B)</f>
        <v>Coffee Maker</v>
      </c>
      <c r="K14" s="5"/>
      <c r="L14" s="5">
        <v>8</v>
      </c>
      <c r="M14" t="s">
        <v>136</v>
      </c>
      <c r="N14" s="15" t="str">
        <f>L14&amp;"-"&amp;M14</f>
        <v>8-DEC</v>
      </c>
      <c r="O14" t="s">
        <v>137</v>
      </c>
      <c r="P14" t="str">
        <f t="shared" si="0"/>
        <v>Nespresso Coffee Maker</v>
      </c>
      <c r="Q14" s="10">
        <v>120</v>
      </c>
      <c r="R14" s="5">
        <v>120</v>
      </c>
      <c r="S14" s="5"/>
    </row>
    <row r="15" spans="1:19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120</v>
      </c>
      <c r="G15" s="8"/>
      <c r="H15" s="8">
        <v>150</v>
      </c>
      <c r="I15" s="8" t="s">
        <v>120</v>
      </c>
      <c r="J15" t="str">
        <f>PROPER(B:B)</f>
        <v>Smartwatch</v>
      </c>
      <c r="K15" s="8" t="s">
        <v>120</v>
      </c>
      <c r="L15" s="8">
        <v>18</v>
      </c>
      <c r="M15" t="s">
        <v>123</v>
      </c>
      <c r="N15" s="15" t="str">
        <f>L15&amp;"-"&amp;M15</f>
        <v>18-FEB</v>
      </c>
      <c r="O15" t="s">
        <v>138</v>
      </c>
      <c r="P15" t="str">
        <f t="shared" si="0"/>
        <v>Fitbit Smartwatch</v>
      </c>
      <c r="Q15" s="11">
        <v>150</v>
      </c>
      <c r="R15" s="8">
        <v>150</v>
      </c>
      <c r="S15" s="8" t="s">
        <v>120</v>
      </c>
    </row>
    <row r="16" spans="1:19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120</v>
      </c>
      <c r="G16" s="5"/>
      <c r="H16" s="5">
        <v>250</v>
      </c>
      <c r="I16" s="5" t="s">
        <v>120</v>
      </c>
      <c r="J16" t="str">
        <f>PROPER(B:B)</f>
        <v>Headphones</v>
      </c>
      <c r="K16" s="5" t="s">
        <v>120</v>
      </c>
      <c r="L16" s="5">
        <v>16</v>
      </c>
      <c r="M16" t="s">
        <v>125</v>
      </c>
      <c r="N16" s="15" t="str">
        <f>L16&amp;"-"&amp;M16</f>
        <v>16-APR</v>
      </c>
      <c r="O16" t="s">
        <v>139</v>
      </c>
      <c r="P16" t="str">
        <f t="shared" si="0"/>
        <v>Bose headphones</v>
      </c>
      <c r="Q16" s="10">
        <v>250</v>
      </c>
      <c r="R16" s="5">
        <v>250</v>
      </c>
      <c r="S16" s="5" t="s">
        <v>120</v>
      </c>
    </row>
    <row r="17" spans="1:19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  <c r="G17" s="8"/>
      <c r="H17" s="8">
        <v>50</v>
      </c>
      <c r="I17" s="8" t="s">
        <v>75</v>
      </c>
      <c r="J17" t="str">
        <f>PROPER(B:B)</f>
        <v>Laptop Bag</v>
      </c>
      <c r="K17" s="8" t="s">
        <v>75</v>
      </c>
      <c r="L17" s="8">
        <v>21</v>
      </c>
      <c r="M17" t="s">
        <v>130</v>
      </c>
      <c r="N17" s="15" t="str">
        <f>L17&amp;"-"&amp;M17</f>
        <v>21-AUG</v>
      </c>
      <c r="O17" t="s">
        <v>138</v>
      </c>
      <c r="P17" t="str">
        <f t="shared" si="0"/>
        <v>Samsonite Laptop Bag</v>
      </c>
      <c r="Q17" s="11">
        <v>50</v>
      </c>
      <c r="R17" s="8">
        <v>50</v>
      </c>
      <c r="S17" s="8" t="s">
        <v>75</v>
      </c>
    </row>
    <row r="18" spans="1:19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120</v>
      </c>
      <c r="G18" s="5"/>
      <c r="H18" s="5">
        <v>160</v>
      </c>
      <c r="I18" s="5" t="s">
        <v>120</v>
      </c>
      <c r="J18" t="str">
        <f>PROPER(B:B)</f>
        <v>Smartwatch</v>
      </c>
      <c r="K18" s="5" t="s">
        <v>120</v>
      </c>
      <c r="L18" s="5">
        <v>20</v>
      </c>
      <c r="M18" t="s">
        <v>130</v>
      </c>
      <c r="N18" s="15" t="str">
        <f>L18&amp;"-"&amp;M18</f>
        <v>20-AUG</v>
      </c>
      <c r="O18" t="s">
        <v>140</v>
      </c>
      <c r="P18" t="str">
        <f t="shared" si="0"/>
        <v>Huawei Smartwatch</v>
      </c>
      <c r="Q18" s="10">
        <v>160</v>
      </c>
      <c r="R18" s="5">
        <v>160</v>
      </c>
      <c r="S18" s="5" t="s">
        <v>120</v>
      </c>
    </row>
    <row r="19" spans="1:19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120</v>
      </c>
      <c r="G19" s="8"/>
      <c r="H19" s="8">
        <v>980</v>
      </c>
      <c r="I19" s="8" t="s">
        <v>120</v>
      </c>
      <c r="J19" t="str">
        <f>PROPER(B:B)</f>
        <v>Laptop</v>
      </c>
      <c r="K19" s="8" t="s">
        <v>120</v>
      </c>
      <c r="L19" s="8">
        <v>27</v>
      </c>
      <c r="M19" t="s">
        <v>121</v>
      </c>
      <c r="N19" s="15" t="str">
        <f>L19&amp;"-"&amp;M19</f>
        <v>27-JAN</v>
      </c>
      <c r="O19" t="s">
        <v>141</v>
      </c>
      <c r="P19" t="str">
        <f t="shared" si="0"/>
        <v>Asus laptop</v>
      </c>
      <c r="Q19" s="11">
        <v>980</v>
      </c>
      <c r="R19" s="8">
        <v>980</v>
      </c>
      <c r="S19" s="8" t="s">
        <v>120</v>
      </c>
    </row>
    <row r="20" spans="1:19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  <c r="G20" s="5"/>
      <c r="H20" s="5">
        <v>150</v>
      </c>
      <c r="I20" s="5" t="s">
        <v>32</v>
      </c>
      <c r="J20" t="str">
        <f>PROPER(B:B)</f>
        <v>Sunglasses</v>
      </c>
      <c r="K20" s="5" t="s">
        <v>32</v>
      </c>
      <c r="L20" s="5">
        <v>1</v>
      </c>
      <c r="M20" t="s">
        <v>124</v>
      </c>
      <c r="N20" s="15" t="str">
        <f>L20&amp;"-"&amp;M20</f>
        <v>1-MAR</v>
      </c>
      <c r="O20" t="s">
        <v>128</v>
      </c>
      <c r="P20" t="str">
        <f t="shared" si="0"/>
        <v>Oakley Sunglasses</v>
      </c>
      <c r="Q20" s="10">
        <v>150</v>
      </c>
      <c r="R20" s="5">
        <v>150</v>
      </c>
      <c r="S20" s="5" t="s">
        <v>32</v>
      </c>
    </row>
    <row r="21" spans="1:19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  <c r="G21" s="8"/>
      <c r="H21" s="8">
        <f>AVERAGE(D16:D46)</f>
        <v>273.33333333333331</v>
      </c>
      <c r="I21" s="8" t="s">
        <v>59</v>
      </c>
      <c r="J21" t="str">
        <f>PROPER(B:B)</f>
        <v>Camping Tent</v>
      </c>
      <c r="K21" s="8" t="s">
        <v>59</v>
      </c>
      <c r="L21" s="8">
        <v>14</v>
      </c>
      <c r="M21" t="s">
        <v>130</v>
      </c>
      <c r="N21" s="15" t="str">
        <f>L21&amp;"-"&amp;M21</f>
        <v>14-AUG</v>
      </c>
      <c r="O21" t="s">
        <v>122</v>
      </c>
      <c r="P21" t="str">
        <f t="shared" si="0"/>
        <v>Coleman Camping Tent</v>
      </c>
      <c r="Q21" s="11"/>
      <c r="R21" s="8"/>
      <c r="S21" s="8" t="s">
        <v>59</v>
      </c>
    </row>
    <row r="22" spans="1:19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120</v>
      </c>
      <c r="G22" s="5"/>
      <c r="H22" s="5">
        <v>700</v>
      </c>
      <c r="I22" s="5" t="s">
        <v>120</v>
      </c>
      <c r="J22" t="str">
        <f>PROPER(B:B)</f>
        <v>Camera</v>
      </c>
      <c r="K22" s="5" t="s">
        <v>120</v>
      </c>
      <c r="L22" s="5">
        <v>14</v>
      </c>
      <c r="M22" t="s">
        <v>126</v>
      </c>
      <c r="N22" s="15" t="str">
        <f>L22&amp;"-"&amp;M22</f>
        <v>14-MAY</v>
      </c>
      <c r="O22" t="s">
        <v>142</v>
      </c>
      <c r="P22" t="str">
        <f t="shared" si="0"/>
        <v>Nikon Camera</v>
      </c>
      <c r="Q22" s="10">
        <v>700</v>
      </c>
      <c r="R22" s="5">
        <v>700</v>
      </c>
      <c r="S22" s="5" t="s">
        <v>120</v>
      </c>
    </row>
    <row r="23" spans="1:19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  <c r="G23" s="8"/>
      <c r="H23" s="8">
        <v>80</v>
      </c>
      <c r="I23" s="8" t="s">
        <v>36</v>
      </c>
      <c r="J23" t="str">
        <f>PROPER(B:B)</f>
        <v>Microwave</v>
      </c>
      <c r="K23" s="8" t="s">
        <v>36</v>
      </c>
      <c r="L23" s="8">
        <v>9</v>
      </c>
      <c r="M23" t="s">
        <v>121</v>
      </c>
      <c r="N23" s="15" t="str">
        <f>L23&amp;"-"&amp;M23</f>
        <v>9-JAN</v>
      </c>
      <c r="O23" t="s">
        <v>138</v>
      </c>
      <c r="P23" t="str">
        <f t="shared" si="0"/>
        <v>Panasonic Microwave</v>
      </c>
      <c r="Q23" s="11">
        <v>80</v>
      </c>
      <c r="R23" s="8">
        <v>80</v>
      </c>
      <c r="S23" s="8" t="s">
        <v>36</v>
      </c>
    </row>
    <row r="24" spans="1:19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  <c r="G24" s="5"/>
      <c r="H24" s="5">
        <v>150</v>
      </c>
      <c r="I24" s="5" t="s">
        <v>120</v>
      </c>
      <c r="J24" t="str">
        <f>PROPER(B:B)</f>
        <v>Fitness Tracker</v>
      </c>
      <c r="K24" s="5"/>
      <c r="L24" s="5">
        <v>19</v>
      </c>
      <c r="M24" t="s">
        <v>129</v>
      </c>
      <c r="N24" s="15" t="str">
        <f>L24&amp;"-"&amp;M24</f>
        <v>19-JUL</v>
      </c>
      <c r="O24" t="s">
        <v>143</v>
      </c>
      <c r="P24" t="str">
        <f t="shared" si="0"/>
        <v>Xiaomi Fitness Tracker</v>
      </c>
      <c r="Q24" s="10">
        <v>150</v>
      </c>
      <c r="R24" s="5">
        <v>150</v>
      </c>
      <c r="S24" s="5"/>
    </row>
    <row r="25" spans="1:19" x14ac:dyDescent="0.25">
      <c r="A25" s="5" t="s">
        <v>95</v>
      </c>
      <c r="B25" s="5" t="s">
        <v>96</v>
      </c>
      <c r="C25" s="5" t="s">
        <v>97</v>
      </c>
      <c r="D25" s="5">
        <v>800</v>
      </c>
      <c r="E25" s="5">
        <v>45</v>
      </c>
      <c r="F25" s="5" t="s">
        <v>120</v>
      </c>
      <c r="G25" s="5"/>
      <c r="H25" s="5">
        <v>800</v>
      </c>
      <c r="I25" s="5" t="s">
        <v>120</v>
      </c>
      <c r="J25" t="str">
        <f>PROPER(B:B)</f>
        <v>Smartphone</v>
      </c>
      <c r="K25" s="8" t="s">
        <v>75</v>
      </c>
      <c r="L25" s="5">
        <v>29</v>
      </c>
      <c r="M25" t="s">
        <v>131</v>
      </c>
      <c r="N25" s="15" t="str">
        <f>L25&amp;"-"&amp;M25</f>
        <v>29-SEP</v>
      </c>
      <c r="O25" t="s">
        <v>138</v>
      </c>
      <c r="P25" t="str">
        <f t="shared" si="0"/>
        <v>Google Smartphone</v>
      </c>
      <c r="Q25" s="10">
        <v>800</v>
      </c>
      <c r="R25" s="5">
        <v>800</v>
      </c>
      <c r="S25" s="5" t="s">
        <v>120</v>
      </c>
    </row>
    <row r="26" spans="1:19" x14ac:dyDescent="0.25">
      <c r="A26" s="8" t="s">
        <v>98</v>
      </c>
      <c r="B26" s="8" t="s">
        <v>81</v>
      </c>
      <c r="C26" s="8" t="s">
        <v>99</v>
      </c>
      <c r="D26" s="8"/>
      <c r="E26" s="8">
        <v>25</v>
      </c>
      <c r="F26" s="8" t="s">
        <v>32</v>
      </c>
      <c r="G26" s="8"/>
      <c r="H26" s="8">
        <f>AVERAGE(D21:D51)</f>
        <v>251</v>
      </c>
      <c r="I26" s="8" t="s">
        <v>32</v>
      </c>
      <c r="J26" t="str">
        <f>PROPER(B:B)</f>
        <v>Sunglasses</v>
      </c>
      <c r="K26" s="5" t="s">
        <v>120</v>
      </c>
      <c r="L26" s="8">
        <v>3</v>
      </c>
      <c r="M26" t="s">
        <v>127</v>
      </c>
      <c r="N26" s="15" t="str">
        <f>L26&amp;"-"&amp;M26</f>
        <v>3-JUN</v>
      </c>
      <c r="O26" t="s">
        <v>138</v>
      </c>
      <c r="P26" t="str">
        <f t="shared" si="0"/>
        <v>Ray-Ban Sunglasses</v>
      </c>
      <c r="Q26" s="11"/>
      <c r="R26" s="8"/>
      <c r="S26" s="8" t="s">
        <v>32</v>
      </c>
    </row>
    <row r="27" spans="1:19" x14ac:dyDescent="0.25">
      <c r="A27" s="5" t="s">
        <v>100</v>
      </c>
      <c r="B27" s="5" t="s">
        <v>51</v>
      </c>
      <c r="C27" s="5" t="s">
        <v>101</v>
      </c>
      <c r="D27" s="5">
        <v>400</v>
      </c>
      <c r="E27" s="5">
        <v>40</v>
      </c>
      <c r="F27" s="5" t="s">
        <v>36</v>
      </c>
      <c r="G27" s="5"/>
      <c r="H27" s="5">
        <v>400</v>
      </c>
      <c r="I27" s="5" t="s">
        <v>36</v>
      </c>
      <c r="J27" t="str">
        <f>PROPER(B:B)</f>
        <v>Blender</v>
      </c>
      <c r="K27" s="8" t="s">
        <v>32</v>
      </c>
      <c r="L27" s="5">
        <v>11</v>
      </c>
      <c r="M27" t="s">
        <v>129</v>
      </c>
      <c r="N27" s="15" t="str">
        <f>L27&amp;"-"&amp;M27</f>
        <v>11-JUL</v>
      </c>
      <c r="O27" t="s">
        <v>138</v>
      </c>
      <c r="P27" t="str">
        <f t="shared" si="0"/>
        <v>Vitamix Blender</v>
      </c>
      <c r="Q27" s="10">
        <v>400</v>
      </c>
      <c r="R27" s="5">
        <v>400</v>
      </c>
      <c r="S27" s="5" t="s">
        <v>36</v>
      </c>
    </row>
    <row r="28" spans="1:19" x14ac:dyDescent="0.25">
      <c r="A28" s="5" t="s">
        <v>102</v>
      </c>
      <c r="B28" s="5" t="s">
        <v>103</v>
      </c>
      <c r="C28" s="5" t="s">
        <v>104</v>
      </c>
      <c r="D28" s="5">
        <v>60</v>
      </c>
      <c r="E28" s="5">
        <v>30</v>
      </c>
      <c r="F28" s="5" t="s">
        <v>32</v>
      </c>
      <c r="G28" s="5"/>
      <c r="H28" s="5">
        <v>60</v>
      </c>
      <c r="I28" s="5" t="s">
        <v>32</v>
      </c>
      <c r="J28" t="str">
        <f>PROPER(B:B)</f>
        <v>Dress</v>
      </c>
      <c r="K28" s="5" t="s">
        <v>36</v>
      </c>
      <c r="L28" s="5">
        <v>7</v>
      </c>
      <c r="M28" t="s">
        <v>124</v>
      </c>
      <c r="N28" s="15" t="str">
        <f>L28&amp;"-"&amp;M28</f>
        <v>7-MAR</v>
      </c>
      <c r="O28" t="s">
        <v>138</v>
      </c>
      <c r="P28" t="str">
        <f t="shared" si="0"/>
        <v>Zara Dress</v>
      </c>
      <c r="Q28" s="10">
        <v>60</v>
      </c>
      <c r="R28" s="5">
        <v>60</v>
      </c>
      <c r="S28" s="5" t="s">
        <v>32</v>
      </c>
    </row>
    <row r="29" spans="1:19" x14ac:dyDescent="0.25">
      <c r="A29" s="8" t="s">
        <v>105</v>
      </c>
      <c r="B29" s="8" t="s">
        <v>106</v>
      </c>
      <c r="C29" s="8" t="s">
        <v>107</v>
      </c>
      <c r="D29" s="8">
        <v>40</v>
      </c>
      <c r="E29" s="8">
        <v>10</v>
      </c>
      <c r="F29" s="8" t="s">
        <v>36</v>
      </c>
      <c r="G29" s="8"/>
      <c r="H29" s="8">
        <v>40</v>
      </c>
      <c r="I29" s="8" t="s">
        <v>36</v>
      </c>
      <c r="J29" t="str">
        <f>PROPER(B:B)</f>
        <v>Toaster</v>
      </c>
      <c r="K29" s="8" t="s">
        <v>120</v>
      </c>
      <c r="L29" s="8">
        <v>13</v>
      </c>
      <c r="M29" t="s">
        <v>125</v>
      </c>
      <c r="N29" s="15" t="str">
        <f>L29&amp;"-"&amp;M29</f>
        <v>13-APR</v>
      </c>
      <c r="O29" t="s">
        <v>138</v>
      </c>
      <c r="P29" t="str">
        <f t="shared" si="0"/>
        <v>Hamilton Toaster</v>
      </c>
      <c r="Q29" s="11">
        <v>40</v>
      </c>
      <c r="R29" s="8">
        <v>40</v>
      </c>
      <c r="S29" s="8" t="s">
        <v>36</v>
      </c>
    </row>
    <row r="30" spans="1:19" x14ac:dyDescent="0.25">
      <c r="A30" s="5" t="s">
        <v>108</v>
      </c>
      <c r="B30" s="5" t="s">
        <v>93</v>
      </c>
      <c r="C30" s="5" t="s">
        <v>109</v>
      </c>
      <c r="D30" s="5">
        <v>130</v>
      </c>
      <c r="E30" s="5">
        <v>5</v>
      </c>
      <c r="F30" s="5" t="s">
        <v>120</v>
      </c>
      <c r="G30" s="5"/>
      <c r="H30" s="5">
        <v>130</v>
      </c>
      <c r="I30" s="5" t="s">
        <v>120</v>
      </c>
      <c r="J30" t="str">
        <f>PROPER(B:B)</f>
        <v>Fitness Tracker</v>
      </c>
      <c r="K30" s="5" t="s">
        <v>32</v>
      </c>
      <c r="L30" s="5">
        <v>24</v>
      </c>
      <c r="M30" t="s">
        <v>126</v>
      </c>
      <c r="N30" s="15" t="str">
        <f>L30&amp;"-"&amp;M30</f>
        <v>24-MAY</v>
      </c>
      <c r="O30" t="s">
        <v>138</v>
      </c>
      <c r="P30" t="str">
        <f t="shared" si="0"/>
        <v>Garmin Fitness Tracker</v>
      </c>
      <c r="Q30" s="10">
        <v>130</v>
      </c>
      <c r="R30" s="5">
        <v>130</v>
      </c>
      <c r="S30" s="5" t="s">
        <v>120</v>
      </c>
    </row>
    <row r="31" spans="1:19" x14ac:dyDescent="0.25">
      <c r="A31" s="8" t="s">
        <v>110</v>
      </c>
      <c r="B31" s="8" t="s">
        <v>111</v>
      </c>
      <c r="C31" s="8" t="s">
        <v>112</v>
      </c>
      <c r="D31" s="8">
        <v>50</v>
      </c>
      <c r="E31" s="8">
        <v>50</v>
      </c>
      <c r="F31" s="8" t="s">
        <v>32</v>
      </c>
      <c r="G31" s="8"/>
      <c r="H31" s="8">
        <v>50</v>
      </c>
      <c r="I31" s="8" t="s">
        <v>32</v>
      </c>
      <c r="J31" t="str">
        <f>PROPER(B:B)</f>
        <v>Jeans</v>
      </c>
      <c r="K31" s="8" t="s">
        <v>36</v>
      </c>
      <c r="L31" s="8">
        <v>2</v>
      </c>
      <c r="M31" t="s">
        <v>136</v>
      </c>
      <c r="N31" s="15" t="str">
        <f>L31&amp;"-"&amp;M31</f>
        <v>2-DEC</v>
      </c>
      <c r="O31" t="s">
        <v>138</v>
      </c>
      <c r="P31" t="str">
        <f t="shared" si="0"/>
        <v>Levi's Jeans</v>
      </c>
      <c r="Q31" s="11">
        <v>50</v>
      </c>
      <c r="R31" s="8">
        <v>50</v>
      </c>
      <c r="S31" s="8" t="s">
        <v>32</v>
      </c>
    </row>
    <row r="32" spans="1:19" x14ac:dyDescent="0.25">
      <c r="A32" s="8" t="s">
        <v>113</v>
      </c>
      <c r="B32" s="8" t="s">
        <v>114</v>
      </c>
      <c r="C32" s="8" t="s">
        <v>115</v>
      </c>
      <c r="D32" s="8">
        <v>100</v>
      </c>
      <c r="E32" s="8">
        <v>20</v>
      </c>
      <c r="F32" s="8" t="s">
        <v>75</v>
      </c>
      <c r="G32" s="8"/>
      <c r="H32" s="8">
        <v>100</v>
      </c>
      <c r="I32" s="8" t="s">
        <v>75</v>
      </c>
      <c r="J32" t="str">
        <f>PROPER(B:B)</f>
        <v>Watch</v>
      </c>
      <c r="K32" s="5" t="s">
        <v>120</v>
      </c>
      <c r="L32" s="8">
        <v>9</v>
      </c>
      <c r="M32" t="s">
        <v>129</v>
      </c>
      <c r="N32" s="15" t="str">
        <f>L32&amp;"-"&amp;M32</f>
        <v>9-JUL</v>
      </c>
      <c r="O32" t="s">
        <v>144</v>
      </c>
      <c r="P32" t="str">
        <f t="shared" si="0"/>
        <v>Casio Watch</v>
      </c>
      <c r="Q32" s="11">
        <v>100</v>
      </c>
      <c r="R32" s="8">
        <v>100</v>
      </c>
      <c r="S32" s="8" t="s">
        <v>75</v>
      </c>
    </row>
  </sheetData>
  <autoFilter ref="A1:S32" xr:uid="{F2773647-5984-4565-B625-A79D47F1872D}"/>
  <conditionalFormatting sqref="R1:R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:S1048576">
    <cfRule type="cellIs" dxfId="0" priority="1" operator="equal">
      <formula>"Elctronics"</formula>
    </cfRule>
    <cfRule type="cellIs" priority="2" operator="equal">
      <formula>"Elctronics"</formula>
    </cfRule>
  </conditionalFormatting>
  <pageMargins left="0.7" right="0.7" top="0.75" bottom="0.75" header="0.3" footer="0.3"/>
  <ignoredErrors>
    <ignoredError sqref="H26 H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 Rojan</dc:creator>
  <cp:lastModifiedBy>Niya Rojan</cp:lastModifiedBy>
  <dcterms:created xsi:type="dcterms:W3CDTF">2026-10-22T07:51:29Z</dcterms:created>
  <dcterms:modified xsi:type="dcterms:W3CDTF">2026-10-22T07:51:29Z</dcterms:modified>
</cp:coreProperties>
</file>